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 de test" sheetId="1" state="visible" r:id="rId3"/>
    <sheet name="Synthèse" sheetId="2" state="visible" r:id="rId4"/>
  </sheets>
  <definedNames>
    <definedName function="false" hidden="true" localSheetId="0" name="_xlnm._FilterDatabase" vbProcedure="false">'Cas de test'!$A$1:$M$25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<sst xmlns="http://schemas.openxmlformats.org/spreadsheetml/2006/main" count="340" uniqueCount="226">
  <si>
    <t xml:space="preserve">ID</t>
  </si>
  <si>
    <t xml:space="preserve">Catégorie</t>
  </si>
  <si>
    <t xml:space="preserve">Titre</t>
  </si>
  <si>
    <t xml:space="preserve">Objectif</t>
  </si>
  <si>
    <t xml:space="preserve">Interface (Web / API)</t>
  </si>
  <si>
    <t xml:space="preserve">Préconditions</t>
  </si>
  <si>
    <t xml:space="preserve">Données</t>
  </si>
  <si>
    <t xml:space="preserve">Étapes</t>
  </si>
  <si>
    <t xml:space="preserve">Résultat attendu</t>
  </si>
  <si>
    <t xml:space="preserve">Résultat obtenu</t>
  </si>
  <si>
    <t xml:space="preserve">Statut</t>
  </si>
  <si>
    <t xml:space="preserve">Preuve (fichier)</t>
  </si>
  <si>
    <t xml:space="preserve">Bug lié</t>
  </si>
  <si>
    <t xml:space="preserve">TC-NOM-01</t>
  </si>
  <si>
    <t xml:space="preserve">Nominal</t>
  </si>
  <si>
    <t xml:space="preserve">Se connecter avec un compte valide</t>
  </si>
  <si>
    <t xml:space="preserve">Vérifier qu'un client peut se connecter.</t>
  </si>
  <si>
    <t xml:space="preserve">Web</t>
  </si>
  <si>
    <t xml:space="preserve">Compte de démo existant.</t>
  </si>
  <si>
    <t xml:space="preserve">alice@example.com / Password123!</t>
  </si>
  <si>
    <t xml:space="preserve">1. Ouvrir /login.
2. Saisir l'email et le mot de passe.
3. Cliquer sur « Se connecter ».</t>
  </si>
  <si>
    <t xml:space="preserve">Retour à l'accueil, menu « Déconnexion » visible.</t>
  </si>
  <si>
    <t xml:space="preserve">Retour à l'accueil, utilisateur connecté.</t>
  </si>
  <si>
    <t xml:space="preserve">Pass</t>
  </si>
  <si>
    <t xml:space="preserve">Non nécessaire (Pass)</t>
  </si>
  <si>
    <t xml:space="preserve">—</t>
  </si>
  <si>
    <t xml:space="preserve">TC-NOM-02</t>
  </si>
  <si>
    <t xml:space="preserve">Rechercher un restaurant par son nom</t>
  </si>
  <si>
    <t xml:space="preserve">Vérifier que la recherche trouve le bon restaurant.</t>
  </si>
  <si>
    <t xml:space="preserve">Aucune.</t>
  </si>
  <si>
    <t xml:space="preserve">Recherche : « Pizza »</t>
  </si>
  <si>
    <t xml:space="preserve">1. Ouvrir l'accueil.
2. Taper « Pizza » dans la recherche.
3. Valider.</t>
  </si>
  <si>
    <t xml:space="preserve">Seul « Pizza Roma » est affiché.</t>
  </si>
  <si>
    <t xml:space="preserve">TC-NOM-03</t>
  </si>
  <si>
    <t xml:space="preserve">Ajouter un produit au panier</t>
  </si>
  <si>
    <t xml:space="preserve">Vérifier l'ajout et le calcul du total.</t>
  </si>
  <si>
    <t xml:space="preserve">Connecté en alice@example.com. Panier vide.</t>
  </si>
  <si>
    <t xml:space="preserve">Margherita (10,90 €) × 2, Pizza Roma</t>
  </si>
  <si>
    <t xml:space="preserve">1. Ouvrir Pizza Roma.
2. Quantité 2 sur Margherita, cliquer « Ajouter ».
3. Ouvrir le panier.</t>
  </si>
  <si>
    <t xml:space="preserve">Sous-total 21,80 €, livraison 2,49 €, total 24,29 €.</t>
  </si>
  <si>
    <t xml:space="preserve">TC-NOM-04</t>
  </si>
  <si>
    <t xml:space="preserve">Passer une commande complète par carte</t>
  </si>
  <si>
    <t xml:space="preserve">Vérifier le parcours de commande de bout en bout.</t>
  </si>
  <si>
    <t xml:space="preserve">Connecté en alice@example.com. Panier de TC-NOM-03.</t>
  </si>
  <si>
    <t xml:space="preserve">Adresse par défaut, paiement carte</t>
  </si>
  <si>
    <t xml:space="preserve">1. Cliquer « Passer commande ».
2. Garder l'adresse et « Carte bancaire ».
3. Cliquer « Confirmer ».</t>
  </si>
  <si>
    <t xml:space="preserve">Message « Commande confirmée ! », total 24,29 €.</t>
  </si>
  <si>
    <t xml:space="preserve">TC-NOM-05</t>
  </si>
  <si>
    <t xml:space="preserve">Annuler une commande confirmée</t>
  </si>
  <si>
    <t xml:space="preserve">Vérifier qu'un client peut annuler sa commande.</t>
  </si>
  <si>
    <t xml:space="preserve">Connecté en alice@example.com. Commande de TC-NOM-04 au statut « confirmed ».</t>
  </si>
  <si>
    <t xml:space="preserve">Commande de TC-NOM-04</t>
  </si>
  <si>
    <t xml:space="preserve">1. Ouvrir la commande.
2. Cliquer « Annuler la commande ».</t>
  </si>
  <si>
    <t xml:space="preserve">Message « Commande annulée. », statut annulé.</t>
  </si>
  <si>
    <t xml:space="preserve">Message « Commande annulée. », statut « cancelled ».</t>
  </si>
  <si>
    <t xml:space="preserve">TC-NOM-06</t>
  </si>
  <si>
    <t xml:space="preserve">Lister les restaurants via l'API</t>
  </si>
  <si>
    <t xml:space="preserve">Vérifier que l'API renvoie la liste des restaurants.</t>
  </si>
  <si>
    <t xml:space="preserve">API (Swagger) — GET /restaurants</t>
  </si>
  <si>
    <t xml:space="preserve">Swagger ouvert, Authorize = quickorder-demo-key.</t>
  </si>
  <si>
    <t xml:space="preserve">Aucune</t>
  </si>
  <si>
    <t xml:space="preserve">1. Ouvrir GET /restaurants.
2. Try it out puis Execute.</t>
  </si>
  <si>
    <t xml:space="preserve">Code 200, liste JSON des restaurants.</t>
  </si>
  <si>
    <t xml:space="preserve">Code 200, 6 restaurants renvoyés.</t>
  </si>
  <si>
    <t xml:space="preserve">TC-LIM-01</t>
  </si>
  <si>
    <t xml:space="preserve">Limite</t>
  </si>
  <si>
    <t xml:space="preserve">Commander une quantité supérieure au stock disponible</t>
  </si>
  <si>
    <t xml:space="preserve">Vérifier que la quantité commandée ne peut pas dépasser le stock du produit.</t>
  </si>
  <si>
    <t xml:space="preserve">Base réinitialisée (docker compose down -v puis docker compose up --build). Connecté en alice@example.com. Panier vide.</t>
  </si>
  <si>
    <t xml:space="preserve">Produit « Salmon Bowl » (Tokyo Bowl), stock = 2, quantité saisie = 10</t>
  </si>
  <si>
    <t xml:space="preserve">1. Ouvrir Tokyo Bowl.
2. Sur « Salmon Bowl », saisir 10 dans le champ quantité.
3. Cliquer « Ajouter », puis « Passer commande ».
4. Confirmer la commande.</t>
  </si>
  <si>
    <t xml:space="preserve">Quantité refusée ou plafonnée à 2, message clair, commande au-delà du stock impossible.</t>
  </si>
  <si>
    <t xml:space="preserve">Quantité acceptée et commande validée sans contrôle du stock.</t>
  </si>
  <si>
    <t xml:space="preserve">Fail</t>
  </si>
  <si>
    <t xml:space="preserve">BUG-03-panier.png, BUG-03-commande.png</t>
  </si>
  <si>
    <t xml:space="preserve">BUG-03</t>
  </si>
  <si>
    <t xml:space="preserve">TC-LIM-02</t>
  </si>
  <si>
    <t xml:space="preserve">Coupon avec un sous-total égal au minimum</t>
  </si>
  <si>
    <t xml:space="preserve">Vérifier que le coupon marche au montant minimum exact.</t>
  </si>
  <si>
    <t xml:space="preserve">Green Kitchen : Granola Bowl 7,50 € + Chicken Caesar 12,50 € = 20,00 € ; coupon WELCOME10 (minimum 20 €)</t>
  </si>
  <si>
    <t xml:space="preserve">1. Ajouter les deux produits.
2. Aller au checkout.
3. Saisir WELCOME10 et cliquer « Appliquer ».</t>
  </si>
  <si>
    <t xml:space="preserve">Coupon accepté, réduction de 2,00 €.</t>
  </si>
  <si>
    <t xml:space="preserve">Réduction de 2,00 € (total 19,99 €).</t>
  </si>
  <si>
    <t xml:space="preserve">TC-LIM-03</t>
  </si>
  <si>
    <t xml:space="preserve">Plafond de réduction d'un coupon</t>
  </si>
  <si>
    <t xml:space="preserve">Vérifier que la réduction ne dépasse pas le plafond.</t>
  </si>
  <si>
    <t xml:space="preserve">Couscous Royal × 4 = 71,60 € ; coupon SAVE20 (20 %, plafond 12 €)</t>
  </si>
  <si>
    <t xml:space="preserve">1. Ajouter 4 Couscous Royal.
2. Aller au checkout.
3. Appliquer SAVE20.</t>
  </si>
  <si>
    <t xml:space="preserve">Réduction limitée à 12,00 € (et non 14,32 €).</t>
  </si>
  <si>
    <t xml:space="preserve">Réduction de 12,00 € (total 62,59 €).</t>
  </si>
  <si>
    <t xml:space="preserve">TC-LIM-04</t>
  </si>
  <si>
    <t xml:space="preserve">Mettre une quantité à 0 dans le panier</t>
  </si>
  <si>
    <t xml:space="preserve">Vérifier qu'une quantité 0 retire le produit.</t>
  </si>
  <si>
    <t xml:space="preserve">Connecté en alice@example.com. Margherita dans le panier.</t>
  </si>
  <si>
    <t xml:space="preserve">Quantité = 0</t>
  </si>
  <si>
    <t xml:space="preserve">1. Ouvrir le panier.
2. Mettre la quantité à 0.
3. Cliquer « Mettre à jour ».</t>
  </si>
  <si>
    <t xml:space="preserve">Le produit est retiré, le panier est vide.</t>
  </si>
  <si>
    <t xml:space="preserve">TC-LIM-05</t>
  </si>
  <si>
    <t xml:space="preserve">Commander sous le minimum du restaurant</t>
  </si>
  <si>
    <t xml:space="preserve">Vérifier que le minimum de commande est respecté.</t>
  </si>
  <si>
    <t xml:space="preserve">Couscous Atlas (minimum 25 €) : Thé à la menthe 3,50 €</t>
  </si>
  <si>
    <t xml:space="preserve">1. Ajouter un Thé à la menthe.
2. Aller au checkout.
3. Cliquer « Confirmer ».</t>
  </si>
  <si>
    <t xml:space="preserve">Commande refusée : minimum de 25 € non atteint.</t>
  </si>
  <si>
    <t xml:space="preserve">Commande confirmée pour 6,49 € (sous-total 3,50 €).</t>
  </si>
  <si>
    <t xml:space="preserve">BUG-09-checkout.png, BUG-09-commande.png</t>
  </si>
  <si>
    <t xml:space="preserve">BUG-09</t>
  </si>
  <si>
    <t xml:space="preserve">TC-LIM-06</t>
  </si>
  <si>
    <t xml:space="preserve">Inscription avec un mot de passe de 7 caractères</t>
  </si>
  <si>
    <t xml:space="preserve">Vérifier la longueur minimale du mot de passe (8).</t>
  </si>
  <si>
    <t xml:space="preserve">Non connecté.</t>
  </si>
  <si>
    <t xml:space="preserve">Nom « Test », email nouveau, mot de passe « Abc123! » (7 caractères)</t>
  </si>
  <si>
    <t xml:space="preserve">1. Ouvrir /register.
2. Remplir le formulaire.
3. Valider.</t>
  </si>
  <si>
    <t xml:space="preserve">Inscription refusée avec un message.</t>
  </si>
  <si>
    <t xml:space="preserve">Message « … mot de passe d'au moins 8 caractères requis. ». Avec 8 caractères, l'inscription passe.</t>
  </si>
  <si>
    <t xml:space="preserve">TC-ERR-01</t>
  </si>
  <si>
    <t xml:space="preserve">Erreur</t>
  </si>
  <si>
    <t xml:space="preserve">Enregistrer un numéro de téléphone au format invalide</t>
  </si>
  <si>
    <t xml:space="preserve">Vérifier que le profil refuse un numéro de téléphone qui ne respecte pas le format attendu.</t>
  </si>
  <si>
    <t xml:space="preserve">Connecté en alice@example.com.</t>
  </si>
  <si>
    <t xml:space="preserve">Téléphone = « 06 »</t>
  </si>
  <si>
    <t xml:space="preserve">1. Ouvrir « Mon profil ».
2. Saisir « 06 » dans Téléphone.
3. Cliquer sur « Enregistrer ».</t>
  </si>
  <si>
    <t xml:space="preserve">Enregistrement refusé, message « Numéro de téléphone invalide ».</t>
  </si>
  <si>
    <t xml:space="preserve">« Profil mis à jour. » : le numéro « 06 » est enregistré.</t>
  </si>
  <si>
    <t xml:space="preserve">BUG-06-telephone.png</t>
  </si>
  <si>
    <t xml:space="preserve">BUG-06</t>
  </si>
  <si>
    <t xml:space="preserve">TC-ERR-02</t>
  </si>
  <si>
    <t xml:space="preserve">Valider un coupon avec un sous-total falsifié (API)</t>
  </si>
  <si>
    <t xml:space="preserve">Vérifier que l'API ne fait pas confiance au sous-total envoyé par le client pour valider un coupon.</t>
  </si>
  <si>
    <t xml:space="preserve">API (Swagger) — POST /coupons/validate</t>
  </si>
  <si>
    <t xml:space="preserve">Base réinitialisée (docker compose down -v puis docker compose up --build). Swagger ouvert, bouton Authorize renseigné avec quickorder-demo-key.</t>
  </si>
  <si>
    <t xml:space="preserve">Coupon SAVE20 (minimum 35 €). Requête 1 : {"code":"SAVE20","subtotal":25}. Requête 2 : {"code":"SAVE20","subtotal":1000}</t>
  </si>
  <si>
    <t xml:space="preserve">1. Swagger → POST /coupons/validate → Try it out.
2. Envoyer la requête 1, noter la réponse.
3. Envoyer la requête 2, noter la réponse.</t>
  </si>
  <si>
    <t xml:space="preserve">Le sous-total falsifié est détecté ou ignoré : le coupon reste refusé.</t>
  </si>
  <si>
    <t xml:space="preserve">Requête 1 refusée (correct). Requête 2 : HTTP 200, "valid": true, "discount": 12.0.</t>
  </si>
  <si>
    <t xml:space="preserve">BUG-08-swagger-coupon.png</t>
  </si>
  <si>
    <t xml:space="preserve">BUG-08</t>
  </si>
  <si>
    <t xml:space="preserve">TC-ERR-03</t>
  </si>
  <si>
    <t xml:space="preserve">Connexion avec un mauvais mot de passe</t>
  </si>
  <si>
    <t xml:space="preserve">Vérifier le refus et le message d'erreur.</t>
  </si>
  <si>
    <t xml:space="preserve">alice@example.com / Faux1234!</t>
  </si>
  <si>
    <t xml:space="preserve">1. Ouvrir /login.
2. Saisir l'email et le mauvais mot de passe.
3. Valider.</t>
  </si>
  <si>
    <t xml:space="preserve">Connexion refusée, message clair.</t>
  </si>
  <si>
    <t xml:space="preserve">Message « Email ou mot de passe incorrect. ».</t>
  </si>
  <si>
    <t xml:space="preserve">TC-ERR-04</t>
  </si>
  <si>
    <t xml:space="preserve">Appeler l'API sans clé</t>
  </si>
  <si>
    <t xml:space="preserve">Vérifier que l'API est protégée.</t>
  </si>
  <si>
    <t xml:space="preserve">API — GET /restaurants</t>
  </si>
  <si>
    <t xml:space="preserve">Pas de clé (Swagger non autorisé, bouton Logout).</t>
  </si>
  <si>
    <t xml:space="preserve">Aucune clé X-API-Key</t>
  </si>
  <si>
    <t xml:space="preserve">1. Cliquer Authorize puis Logout.
2. Exécuter GET /restaurants.</t>
  </si>
  <si>
    <t xml:space="preserve">Code 401 avec un message d'erreur.</t>
  </si>
  <si>
    <t xml:space="preserve">Code 401 : « missing or invalid X-API-Key ».</t>
  </si>
  <si>
    <t xml:space="preserve">TC-ERR-05</t>
  </si>
  <si>
    <t xml:space="preserve">Demander un produit inexistant via l'API</t>
  </si>
  <si>
    <t xml:space="preserve">Vérifier la réponse pour un ID inconnu.</t>
  </si>
  <si>
    <t xml:space="preserve">API — GET /products/{id}</t>
  </si>
  <si>
    <t xml:space="preserve">product_id = 9999</t>
  </si>
  <si>
    <t xml:space="preserve">1. Ouvrir GET /products/{product_id}.
2. Saisir 9999 puis Execute.</t>
  </si>
  <si>
    <t xml:space="preserve">Code 404.</t>
  </si>
  <si>
    <t xml:space="preserve">Code 404 (réponse en page HTML et non en JSON).</t>
  </si>
  <si>
    <t xml:space="preserve">TC-ERR-06</t>
  </si>
  <si>
    <t xml:space="preserve">Appliquer un coupon expiré</t>
  </si>
  <si>
    <t xml:space="preserve">Vérifier qu'un coupon expiré est refusé.</t>
  </si>
  <si>
    <t xml:space="preserve">Connecté en alice@example.com. Margherita × 2 dans le panier.</t>
  </si>
  <si>
    <t xml:space="preserve">Coupon EXPIRED10</t>
  </si>
  <si>
    <t xml:space="preserve">1. Aller au checkout.
2. Saisir EXPIRED10 et cliquer « Appliquer ».</t>
  </si>
  <si>
    <t xml:space="preserve">Coupon refusé avec un message, aucune réduction.</t>
  </si>
  <si>
    <t xml:space="preserve">Message « Coupon invalide ou expiré. », réduction 0 €.</t>
  </si>
  <si>
    <t xml:space="preserve">TC-RM-01</t>
  </si>
  <si>
    <t xml:space="preserve">Règle métier</t>
  </si>
  <si>
    <t xml:space="preserve">Ajouter au panier un produit en rupture de stock</t>
  </si>
  <si>
    <t xml:space="preserve">Vérifier qu'un produit avec un stock à 0 ne peut pas être ajouté au panier ni commandé.</t>
  </si>
  <si>
    <t xml:space="preserve">Produit « Veggie Burger » (Burger Factory), stock = 0</t>
  </si>
  <si>
    <t xml:space="preserve">1. Ouvrir Burger Factory.
2. Ajouter « Veggie Burger » au panier.
3. Ajouter « Classic Burger » (minimum 20 €).
4. Valider la commande au checkout.</t>
  </si>
  <si>
    <t xml:space="preserve">Produit affiché « épuisé », ajout refusé avec un message clair.</t>
  </si>
  <si>
    <t xml:space="preserve">Le produit affiche « HORS STOCK », mais le bouton « Ajouter » reste actif : il s'ajoute au panier et la commande est validée.</t>
  </si>
  <si>
    <t xml:space="preserve">BUG-04-produit.png, BUG-04-panier.png, BUG-04-commande.png</t>
  </si>
  <si>
    <t xml:space="preserve">BUG-04</t>
  </si>
  <si>
    <t xml:space="preserve">TC-RM-02</t>
  </si>
  <si>
    <t xml:space="preserve">Commander dans un restaurant fermé</t>
  </si>
  <si>
    <t xml:space="preserve">Vérifier qu'aucune commande ne peut être passée dans un restaurant fermé.</t>
  </si>
  <si>
    <t xml:space="preserve">Restaurant « Night Sushi » (fermé), produit « Late Sushi Box »</t>
  </si>
  <si>
    <t xml:space="preserve">1. Ouvrir Night Sushi.
2. Ajouter « Late Sushi Box » au panier.
3. Valider la commande au checkout.</t>
  </si>
  <si>
    <t xml:space="preserve">Commande impossible, message « Restaurant fermé ».</t>
  </si>
  <si>
    <t xml:space="preserve">Produit ajouté au panier et commande validée.</t>
  </si>
  <si>
    <t xml:space="preserve">BUG-05-restaurant.png, BUG-05-commande.png</t>
  </si>
  <si>
    <t xml:space="preserve">BUG-05</t>
  </si>
  <si>
    <t xml:space="preserve">TC-RM-03</t>
  </si>
  <si>
    <t xml:space="preserve">Refuser un paiement en espèces inférieur au total (API)</t>
  </si>
  <si>
    <t xml:space="preserve">Vérifier que l'API refuse une commande payée en espèces quand le montant reçu est inférieur au total.</t>
  </si>
  <si>
    <t xml:space="preserve">API (Swagger) — POST /orders</t>
  </si>
  <si>
    <t xml:space="preserve">{"items":[{"product_id":1,"quantity":2}],"payment_method":"cash","cash_received":1}</t>
  </si>
  <si>
    <t xml:space="preserve">1. Swagger → POST /orders → Try it out.
2. Coller les données.
3. Execute, lire le code HTTP et la réponse.</t>
  </si>
  <si>
    <t xml:space="preserve">HTTP 400, message « montant insuffisant », aucune commande créée.</t>
  </si>
  <si>
    <t xml:space="preserve">HTTP 201, commande créée et marquée payée (total 26.79, cash_received 1.0, change_due -25.79).</t>
  </si>
  <si>
    <t xml:space="preserve">BUG-07-swagger-cash.png</t>
  </si>
  <si>
    <t xml:space="preserve">BUG-07</t>
  </si>
  <si>
    <t xml:space="preserve">TC-RM-04</t>
  </si>
  <si>
    <t xml:space="preserve">Panier mono-restaurant</t>
  </si>
  <si>
    <t xml:space="preserve">Vérifier qu'on ne peut pas mélanger deux restaurants.</t>
  </si>
  <si>
    <t xml:space="preserve">Connecté en alice@example.com. Margherita (Pizza Roma) dans le panier.</t>
  </si>
  <si>
    <t xml:space="preserve">Classic Burger (Burger Factory)</t>
  </si>
  <si>
    <t xml:space="preserve">1. Ouvrir Burger Factory.
2. Cliquer « Ajouter » sur Classic Burger.</t>
  </si>
  <si>
    <t xml:space="preserve">Ajout refusé avec un message.</t>
  </si>
  <si>
    <t xml:space="preserve">Message « Un panier ne peut contenir que des produits du même restaurant. ».</t>
  </si>
  <si>
    <t xml:space="preserve">TC-RM-05</t>
  </si>
  <si>
    <t xml:space="preserve">Accès à l'admin par un client</t>
  </si>
  <si>
    <t xml:space="preserve">Vérifier que l'espace admin est réservé.</t>
  </si>
  <si>
    <t xml:space="preserve">URL /admin/</t>
  </si>
  <si>
    <t xml:space="preserve">1. Taper http://127.0.0.1:5000/admin/ dans la barre d'adresse.</t>
  </si>
  <si>
    <t xml:space="preserve">Accès refusé.</t>
  </si>
  <si>
    <t xml:space="preserve">Retour à l'accueil, message « Accès réservé aux administrateurs. ».</t>
  </si>
  <si>
    <t xml:space="preserve">TC-RM-06</t>
  </si>
  <si>
    <t xml:space="preserve">Coupon ATLAS15 annoncé à -15 %</t>
  </si>
  <si>
    <t xml:space="preserve">Vérifier que la promotion annoncée est bien appliquée.</t>
  </si>
  <si>
    <t xml:space="preserve">Couscous Royal × 2 = 35,80 € ; coupon ATLAS15</t>
  </si>
  <si>
    <t xml:space="preserve">1. Ouvrir Couscous Atlas (annonce « -15 % »).
2. Ajouter 2 Couscous Royal.
3. Au checkout, appliquer ATLAS15.</t>
  </si>
  <si>
    <t xml:space="preserve">Réduction de 15 % = 5,37 €.</t>
  </si>
  <si>
    <t xml:space="preserve">Réduction de 3,58 € (10 %), total 35,21 €.</t>
  </si>
  <si>
    <t xml:space="preserve">BUG-10-promo.png, BUG-10-checkout.png</t>
  </si>
  <si>
    <t xml:space="preserve">BUG-10</t>
  </si>
  <si>
    <t xml:space="preserve">Nombre</t>
  </si>
  <si>
    <t xml:space="preserve">%</t>
  </si>
  <si>
    <t xml:space="preserve">Blocked</t>
  </si>
  <si>
    <t xml:space="preserve">Skipped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</si>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</sst>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CE6F1"/>
      </patternFill>
    </fill>
    <fill>
      <patternFill patternType="solid">
        <fgColor rgb="FFF8CBAD"/>
        <bgColor rgb="FFC0C0C0"/>
      </patternFill>
    </fill>
    <fill>
      <patternFill patternType="solid">
        <fgColor rgb="FFDCE6F1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7" min="6" style="0" width="30"/>
    <col collapsed="false" customWidth="true" hidden="false" outlineLevel="0" max="8" min="8" style="0" width="42"/>
    <col collapsed="false" customWidth="true" hidden="false" outlineLevel="0" max="9" min="9" style="0" width="32"/>
    <col collapsed="false" customWidth="true" hidden="false" outlineLevel="0" max="10" min="10" style="0" width="36"/>
    <col collapsed="false" customWidth="true" hidden="false" outlineLevel="0" max="11" min="11" style="0" width="9"/>
    <col collapsed="false" customWidth="true" hidden="false" outlineLevel="0" max="12" min="12" style="0" width="24"/>
    <col collapsed="false" customWidth="true" hidden="false" outlineLevel="0" max="13" min="13" style="0" width="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5.0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3" t="s">
        <v>23</v>
      </c>
      <c r="L2" s="2" t="s">
        <v>24</v>
      </c>
      <c r="M2" s="2" t="s">
        <v>25</v>
      </c>
    </row>
    <row r="3" customFormat="false" ht="35.05" hidden="false" customHeight="false" outlineLevel="0" collapsed="false">
      <c r="A3" s="2" t="s">
        <v>26</v>
      </c>
      <c r="B3" s="2" t="s">
        <v>14</v>
      </c>
      <c r="C3" s="2" t="s">
        <v>27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32</v>
      </c>
      <c r="K3" s="3" t="s">
        <v>23</v>
      </c>
      <c r="L3" s="2" t="s">
        <v>24</v>
      </c>
      <c r="M3" s="2" t="s">
        <v>25</v>
      </c>
    </row>
    <row r="4" customFormat="false" ht="35.05" hidden="false" customHeight="false" outlineLevel="0" collapsed="false">
      <c r="A4" s="2" t="s">
        <v>33</v>
      </c>
      <c r="B4" s="2" t="s">
        <v>14</v>
      </c>
      <c r="C4" s="2" t="s">
        <v>34</v>
      </c>
      <c r="D4" s="2" t="s">
        <v>35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39</v>
      </c>
      <c r="K4" s="3" t="s">
        <v>23</v>
      </c>
      <c r="L4" s="2" t="s">
        <v>24</v>
      </c>
      <c r="M4" s="2" t="s">
        <v>25</v>
      </c>
    </row>
    <row r="5" customFormat="false" ht="35.05" hidden="false" customHeight="false" outlineLevel="0" collapsed="false">
      <c r="A5" s="2" t="s">
        <v>40</v>
      </c>
      <c r="B5" s="2" t="s">
        <v>14</v>
      </c>
      <c r="C5" s="2" t="s">
        <v>41</v>
      </c>
      <c r="D5" s="2" t="s">
        <v>42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46</v>
      </c>
      <c r="K5" s="3" t="s">
        <v>23</v>
      </c>
      <c r="L5" s="2" t="s">
        <v>24</v>
      </c>
      <c r="M5" s="2" t="s">
        <v>25</v>
      </c>
    </row>
    <row r="6" customFormat="false" ht="35.05" hidden="false" customHeight="false" outlineLevel="0" collapsed="false">
      <c r="A6" s="2" t="s">
        <v>47</v>
      </c>
      <c r="B6" s="2" t="s">
        <v>14</v>
      </c>
      <c r="C6" s="2" t="s">
        <v>48</v>
      </c>
      <c r="D6" s="2" t="s">
        <v>49</v>
      </c>
      <c r="E6" s="2" t="s">
        <v>17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3" t="s">
        <v>23</v>
      </c>
      <c r="L6" s="2" t="s">
        <v>24</v>
      </c>
      <c r="M6" s="2" t="s">
        <v>25</v>
      </c>
    </row>
    <row r="7" customFormat="false" ht="23.85" hidden="false" customHeight="false" outlineLevel="0" collapsed="false">
      <c r="A7" s="2" t="s">
        <v>55</v>
      </c>
      <c r="B7" s="2" t="s">
        <v>14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3" t="s">
        <v>23</v>
      </c>
      <c r="L7" s="2" t="s">
        <v>24</v>
      </c>
      <c r="M7" s="2" t="s">
        <v>25</v>
      </c>
    </row>
    <row r="8" customFormat="false" ht="57.45" hidden="false" customHeight="false" outlineLevel="0" collapsed="false">
      <c r="A8" s="2" t="s">
        <v>64</v>
      </c>
      <c r="B8" s="2" t="s">
        <v>65</v>
      </c>
      <c r="C8" s="2" t="s">
        <v>66</v>
      </c>
      <c r="D8" s="2" t="s">
        <v>67</v>
      </c>
      <c r="E8" s="2" t="s">
        <v>17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4" t="s">
        <v>73</v>
      </c>
      <c r="L8" s="2" t="s">
        <v>74</v>
      </c>
      <c r="M8" s="2" t="s">
        <v>75</v>
      </c>
    </row>
    <row r="9" customFormat="false" ht="46.25" hidden="false" customHeight="false" outlineLevel="0" collapsed="false">
      <c r="A9" s="2" t="s">
        <v>76</v>
      </c>
      <c r="B9" s="2" t="s">
        <v>65</v>
      </c>
      <c r="C9" s="2" t="s">
        <v>77</v>
      </c>
      <c r="D9" s="2" t="s">
        <v>78</v>
      </c>
      <c r="E9" s="2" t="s">
        <v>17</v>
      </c>
      <c r="F9" s="2" t="s">
        <v>36</v>
      </c>
      <c r="G9" s="2" t="s">
        <v>79</v>
      </c>
      <c r="H9" s="2" t="s">
        <v>80</v>
      </c>
      <c r="I9" s="2" t="s">
        <v>81</v>
      </c>
      <c r="J9" s="2" t="s">
        <v>82</v>
      </c>
      <c r="K9" s="3" t="s">
        <v>23</v>
      </c>
      <c r="L9" s="2" t="s">
        <v>24</v>
      </c>
      <c r="M9" s="2" t="s">
        <v>25</v>
      </c>
    </row>
    <row r="10" customFormat="false" ht="35.05" hidden="false" customHeight="false" outlineLevel="0" collapsed="false">
      <c r="A10" s="2" t="s">
        <v>83</v>
      </c>
      <c r="B10" s="2" t="s">
        <v>65</v>
      </c>
      <c r="C10" s="2" t="s">
        <v>84</v>
      </c>
      <c r="D10" s="2" t="s">
        <v>85</v>
      </c>
      <c r="E10" s="2" t="s">
        <v>17</v>
      </c>
      <c r="F10" s="2" t="s">
        <v>36</v>
      </c>
      <c r="G10" s="2" t="s">
        <v>86</v>
      </c>
      <c r="H10" s="2" t="s">
        <v>87</v>
      </c>
      <c r="I10" s="2" t="s">
        <v>88</v>
      </c>
      <c r="J10" s="2" t="s">
        <v>89</v>
      </c>
      <c r="K10" s="3" t="s">
        <v>23</v>
      </c>
      <c r="L10" s="2" t="s">
        <v>24</v>
      </c>
      <c r="M10" s="2" t="s">
        <v>25</v>
      </c>
    </row>
    <row r="11" customFormat="false" ht="35.05" hidden="false" customHeight="false" outlineLevel="0" collapsed="false">
      <c r="A11" s="2" t="s">
        <v>90</v>
      </c>
      <c r="B11" s="2" t="s">
        <v>65</v>
      </c>
      <c r="C11" s="2" t="s">
        <v>91</v>
      </c>
      <c r="D11" s="2" t="s">
        <v>92</v>
      </c>
      <c r="E11" s="2" t="s">
        <v>17</v>
      </c>
      <c r="F11" s="2" t="s">
        <v>93</v>
      </c>
      <c r="G11" s="2" t="s">
        <v>94</v>
      </c>
      <c r="H11" s="2" t="s">
        <v>95</v>
      </c>
      <c r="I11" s="2" t="s">
        <v>96</v>
      </c>
      <c r="J11" s="2" t="s">
        <v>96</v>
      </c>
      <c r="K11" s="3" t="s">
        <v>23</v>
      </c>
      <c r="L11" s="2" t="s">
        <v>24</v>
      </c>
      <c r="M11" s="2" t="s">
        <v>25</v>
      </c>
    </row>
    <row r="12" customFormat="false" ht="35.05" hidden="false" customHeight="false" outlineLevel="0" collapsed="false">
      <c r="A12" s="2" t="s">
        <v>97</v>
      </c>
      <c r="B12" s="2" t="s">
        <v>65</v>
      </c>
      <c r="C12" s="2" t="s">
        <v>98</v>
      </c>
      <c r="D12" s="2" t="s">
        <v>99</v>
      </c>
      <c r="E12" s="2" t="s">
        <v>17</v>
      </c>
      <c r="F12" s="2" t="s">
        <v>36</v>
      </c>
      <c r="G12" s="2" t="s">
        <v>100</v>
      </c>
      <c r="H12" s="2" t="s">
        <v>101</v>
      </c>
      <c r="I12" s="2" t="s">
        <v>102</v>
      </c>
      <c r="J12" s="2" t="s">
        <v>103</v>
      </c>
      <c r="K12" s="4" t="s">
        <v>73</v>
      </c>
      <c r="L12" s="2" t="s">
        <v>104</v>
      </c>
      <c r="M12" s="2" t="s">
        <v>105</v>
      </c>
    </row>
    <row r="13" customFormat="false" ht="35.05" hidden="false" customHeight="false" outlineLevel="0" collapsed="false">
      <c r="A13" s="2" t="s">
        <v>106</v>
      </c>
      <c r="B13" s="2" t="s">
        <v>65</v>
      </c>
      <c r="C13" s="2" t="s">
        <v>107</v>
      </c>
      <c r="D13" s="2" t="s">
        <v>108</v>
      </c>
      <c r="E13" s="2" t="s">
        <v>17</v>
      </c>
      <c r="F13" s="2" t="s">
        <v>109</v>
      </c>
      <c r="G13" s="2" t="s">
        <v>110</v>
      </c>
      <c r="H13" s="2" t="s">
        <v>111</v>
      </c>
      <c r="I13" s="2" t="s">
        <v>112</v>
      </c>
      <c r="J13" s="2" t="s">
        <v>113</v>
      </c>
      <c r="K13" s="3" t="s">
        <v>23</v>
      </c>
      <c r="L13" s="2" t="s">
        <v>24</v>
      </c>
      <c r="M13" s="2" t="s">
        <v>25</v>
      </c>
    </row>
    <row r="14" customFormat="false" ht="35.05" hidden="false" customHeight="false" outlineLevel="0" collapsed="false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17</v>
      </c>
      <c r="F14" s="2" t="s">
        <v>118</v>
      </c>
      <c r="G14" s="2" t="s">
        <v>119</v>
      </c>
      <c r="H14" s="2" t="s">
        <v>120</v>
      </c>
      <c r="I14" s="2" t="s">
        <v>121</v>
      </c>
      <c r="J14" s="2" t="s">
        <v>122</v>
      </c>
      <c r="K14" s="4" t="s">
        <v>73</v>
      </c>
      <c r="L14" s="2" t="s">
        <v>123</v>
      </c>
      <c r="M14" s="2" t="s">
        <v>124</v>
      </c>
    </row>
    <row r="15" customFormat="false" ht="57.45" hidden="false" customHeight="false" outlineLevel="0" collapsed="false">
      <c r="A15" s="2" t="s">
        <v>125</v>
      </c>
      <c r="B15" s="2" t="s">
        <v>115</v>
      </c>
      <c r="C15" s="2" t="s">
        <v>126</v>
      </c>
      <c r="D15" s="2" t="s">
        <v>127</v>
      </c>
      <c r="E15" s="2" t="s">
        <v>128</v>
      </c>
      <c r="F15" s="2" t="s">
        <v>129</v>
      </c>
      <c r="G15" s="2" t="s">
        <v>130</v>
      </c>
      <c r="H15" s="2" t="s">
        <v>131</v>
      </c>
      <c r="I15" s="2" t="s">
        <v>132</v>
      </c>
      <c r="J15" s="2" t="s">
        <v>133</v>
      </c>
      <c r="K15" s="4" t="s">
        <v>73</v>
      </c>
      <c r="L15" s="2" t="s">
        <v>134</v>
      </c>
      <c r="M15" s="2" t="s">
        <v>135</v>
      </c>
    </row>
    <row r="16" customFormat="false" ht="35.05" hidden="false" customHeight="false" outlineLevel="0" collapsed="false">
      <c r="A16" s="2" t="s">
        <v>136</v>
      </c>
      <c r="B16" s="2" t="s">
        <v>115</v>
      </c>
      <c r="C16" s="2" t="s">
        <v>137</v>
      </c>
      <c r="D16" s="2" t="s">
        <v>138</v>
      </c>
      <c r="E16" s="2" t="s">
        <v>17</v>
      </c>
      <c r="F16" s="2" t="s">
        <v>109</v>
      </c>
      <c r="G16" s="2" t="s">
        <v>139</v>
      </c>
      <c r="H16" s="2" t="s">
        <v>140</v>
      </c>
      <c r="I16" s="2" t="s">
        <v>141</v>
      </c>
      <c r="J16" s="2" t="s">
        <v>142</v>
      </c>
      <c r="K16" s="3" t="s">
        <v>23</v>
      </c>
      <c r="L16" s="2" t="s">
        <v>24</v>
      </c>
      <c r="M16" s="2" t="s">
        <v>25</v>
      </c>
    </row>
    <row r="17" customFormat="false" ht="23.85" hidden="false" customHeight="false" outlineLevel="0" collapsed="false">
      <c r="A17" s="2" t="s">
        <v>143</v>
      </c>
      <c r="B17" s="2" t="s">
        <v>115</v>
      </c>
      <c r="C17" s="2" t="s">
        <v>144</v>
      </c>
      <c r="D17" s="2" t="s">
        <v>145</v>
      </c>
      <c r="E17" s="2" t="s">
        <v>146</v>
      </c>
      <c r="F17" s="2" t="s">
        <v>147</v>
      </c>
      <c r="G17" s="2" t="s">
        <v>148</v>
      </c>
      <c r="H17" s="2" t="s">
        <v>149</v>
      </c>
      <c r="I17" s="2" t="s">
        <v>150</v>
      </c>
      <c r="J17" s="2" t="s">
        <v>151</v>
      </c>
      <c r="K17" s="3" t="s">
        <v>23</v>
      </c>
      <c r="L17" s="2" t="s">
        <v>24</v>
      </c>
      <c r="M17" s="2" t="s">
        <v>25</v>
      </c>
    </row>
    <row r="18" customFormat="false" ht="23.85" hidden="false" customHeight="false" outlineLevel="0" collapsed="false">
      <c r="A18" s="2" t="s">
        <v>152</v>
      </c>
      <c r="B18" s="2" t="s">
        <v>115</v>
      </c>
      <c r="C18" s="2" t="s">
        <v>153</v>
      </c>
      <c r="D18" s="2" t="s">
        <v>154</v>
      </c>
      <c r="E18" s="2" t="s">
        <v>155</v>
      </c>
      <c r="F18" s="2" t="s">
        <v>59</v>
      </c>
      <c r="G18" s="2" t="s">
        <v>156</v>
      </c>
      <c r="H18" s="2" t="s">
        <v>157</v>
      </c>
      <c r="I18" s="2" t="s">
        <v>158</v>
      </c>
      <c r="J18" s="2" t="s">
        <v>159</v>
      </c>
      <c r="K18" s="3" t="s">
        <v>23</v>
      </c>
      <c r="L18" s="2" t="s">
        <v>24</v>
      </c>
      <c r="M18" s="2" t="s">
        <v>25</v>
      </c>
    </row>
    <row r="19" customFormat="false" ht="23.85" hidden="false" customHeight="false" outlineLevel="0" collapsed="false">
      <c r="A19" s="2" t="s">
        <v>160</v>
      </c>
      <c r="B19" s="2" t="s">
        <v>115</v>
      </c>
      <c r="C19" s="2" t="s">
        <v>161</v>
      </c>
      <c r="D19" s="2" t="s">
        <v>162</v>
      </c>
      <c r="E19" s="2" t="s">
        <v>17</v>
      </c>
      <c r="F19" s="2" t="s">
        <v>163</v>
      </c>
      <c r="G19" s="2" t="s">
        <v>164</v>
      </c>
      <c r="H19" s="2" t="s">
        <v>165</v>
      </c>
      <c r="I19" s="2" t="s">
        <v>166</v>
      </c>
      <c r="J19" s="2" t="s">
        <v>167</v>
      </c>
      <c r="K19" s="3" t="s">
        <v>23</v>
      </c>
      <c r="L19" s="2" t="s">
        <v>24</v>
      </c>
      <c r="M19" s="2" t="s">
        <v>25</v>
      </c>
    </row>
    <row r="20" customFormat="false" ht="46.25" hidden="false" customHeight="false" outlineLevel="0" collapsed="false">
      <c r="A20" s="2" t="s">
        <v>168</v>
      </c>
      <c r="B20" s="2" t="s">
        <v>169</v>
      </c>
      <c r="C20" s="2" t="s">
        <v>170</v>
      </c>
      <c r="D20" s="2" t="s">
        <v>171</v>
      </c>
      <c r="E20" s="2" t="s">
        <v>17</v>
      </c>
      <c r="F20" s="2" t="s">
        <v>68</v>
      </c>
      <c r="G20" s="2" t="s">
        <v>172</v>
      </c>
      <c r="H20" s="2" t="s">
        <v>173</v>
      </c>
      <c r="I20" s="2" t="s">
        <v>174</v>
      </c>
      <c r="J20" s="2" t="s">
        <v>175</v>
      </c>
      <c r="K20" s="4" t="s">
        <v>73</v>
      </c>
      <c r="L20" s="2" t="s">
        <v>176</v>
      </c>
      <c r="M20" s="2" t="s">
        <v>177</v>
      </c>
    </row>
    <row r="21" customFormat="false" ht="46.25" hidden="false" customHeight="false" outlineLevel="0" collapsed="false">
      <c r="A21" s="2" t="s">
        <v>178</v>
      </c>
      <c r="B21" s="2" t="s">
        <v>169</v>
      </c>
      <c r="C21" s="2" t="s">
        <v>179</v>
      </c>
      <c r="D21" s="2" t="s">
        <v>180</v>
      </c>
      <c r="E21" s="2" t="s">
        <v>17</v>
      </c>
      <c r="F21" s="2" t="s">
        <v>68</v>
      </c>
      <c r="G21" s="2" t="s">
        <v>181</v>
      </c>
      <c r="H21" s="2" t="s">
        <v>182</v>
      </c>
      <c r="I21" s="2" t="s">
        <v>183</v>
      </c>
      <c r="J21" s="2" t="s">
        <v>184</v>
      </c>
      <c r="K21" s="4" t="s">
        <v>73</v>
      </c>
      <c r="L21" s="2" t="s">
        <v>185</v>
      </c>
      <c r="M21" s="2" t="s">
        <v>186</v>
      </c>
    </row>
    <row r="22" customFormat="false" ht="57.45" hidden="false" customHeight="false" outlineLevel="0" collapsed="false">
      <c r="A22" s="2" t="s">
        <v>187</v>
      </c>
      <c r="B22" s="2" t="s">
        <v>169</v>
      </c>
      <c r="C22" s="2" t="s">
        <v>188</v>
      </c>
      <c r="D22" s="2" t="s">
        <v>189</v>
      </c>
      <c r="E22" s="2" t="s">
        <v>190</v>
      </c>
      <c r="F22" s="2" t="s">
        <v>129</v>
      </c>
      <c r="G22" s="2" t="s">
        <v>191</v>
      </c>
      <c r="H22" s="2" t="s">
        <v>192</v>
      </c>
      <c r="I22" s="2" t="s">
        <v>193</v>
      </c>
      <c r="J22" s="2" t="s">
        <v>194</v>
      </c>
      <c r="K22" s="4" t="s">
        <v>73</v>
      </c>
      <c r="L22" s="2" t="s">
        <v>195</v>
      </c>
      <c r="M22" s="2" t="s">
        <v>196</v>
      </c>
    </row>
    <row r="23" customFormat="false" ht="35.05" hidden="false" customHeight="false" outlineLevel="0" collapsed="false">
      <c r="A23" s="2" t="s">
        <v>197</v>
      </c>
      <c r="B23" s="2" t="s">
        <v>169</v>
      </c>
      <c r="C23" s="2" t="s">
        <v>198</v>
      </c>
      <c r="D23" s="2" t="s">
        <v>199</v>
      </c>
      <c r="E23" s="2" t="s">
        <v>17</v>
      </c>
      <c r="F23" s="2" t="s">
        <v>200</v>
      </c>
      <c r="G23" s="2" t="s">
        <v>201</v>
      </c>
      <c r="H23" s="2" t="s">
        <v>202</v>
      </c>
      <c r="I23" s="2" t="s">
        <v>203</v>
      </c>
      <c r="J23" s="2" t="s">
        <v>204</v>
      </c>
      <c r="K23" s="3" t="s">
        <v>23</v>
      </c>
      <c r="L23" s="2" t="s">
        <v>24</v>
      </c>
      <c r="M23" s="2" t="s">
        <v>25</v>
      </c>
    </row>
    <row r="24" customFormat="false" ht="23.85" hidden="false" customHeight="false" outlineLevel="0" collapsed="false">
      <c r="A24" s="2" t="s">
        <v>205</v>
      </c>
      <c r="B24" s="2" t="s">
        <v>169</v>
      </c>
      <c r="C24" s="2" t="s">
        <v>206</v>
      </c>
      <c r="D24" s="2" t="s">
        <v>207</v>
      </c>
      <c r="E24" s="2" t="s">
        <v>17</v>
      </c>
      <c r="F24" s="2" t="s">
        <v>118</v>
      </c>
      <c r="G24" s="2" t="s">
        <v>208</v>
      </c>
      <c r="H24" s="2" t="s">
        <v>209</v>
      </c>
      <c r="I24" s="2" t="s">
        <v>210</v>
      </c>
      <c r="J24" s="2" t="s">
        <v>211</v>
      </c>
      <c r="K24" s="3" t="s">
        <v>23</v>
      </c>
      <c r="L24" s="2" t="s">
        <v>24</v>
      </c>
      <c r="M24" s="2" t="s">
        <v>25</v>
      </c>
    </row>
    <row r="25" customFormat="false" ht="35.05" hidden="false" customHeight="false" outlineLevel="0" collapsed="false">
      <c r="A25" s="2" t="s">
        <v>212</v>
      </c>
      <c r="B25" s="2" t="s">
        <v>169</v>
      </c>
      <c r="C25" s="2" t="s">
        <v>213</v>
      </c>
      <c r="D25" s="2" t="s">
        <v>214</v>
      </c>
      <c r="E25" s="2" t="s">
        <v>17</v>
      </c>
      <c r="F25" s="2" t="s">
        <v>36</v>
      </c>
      <c r="G25" s="2" t="s">
        <v>215</v>
      </c>
      <c r="H25" s="2" t="s">
        <v>216</v>
      </c>
      <c r="I25" s="2" t="s">
        <v>217</v>
      </c>
      <c r="J25" s="2" t="s">
        <v>218</v>
      </c>
      <c r="K25" s="4" t="s">
        <v>73</v>
      </c>
      <c r="L25" s="2" t="s">
        <v>219</v>
      </c>
      <c r="M25" s="2" t="s">
        <v>220</v>
      </c>
    </row>
  </sheetData>
  <autoFilter ref="A1:M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5" t="s">
        <v>10</v>
      </c>
      <c r="B1" s="5" t="s">
        <v>221</v>
      </c>
      <c r="C1" s="5" t="s">
        <v>222</v>
      </c>
    </row>
    <row r="2" customFormat="false" ht="15" hidden="false" customHeight="false" outlineLevel="0" collapsed="false">
      <c r="A2" s="6" t="s">
        <v>23</v>
      </c>
      <c r="B2" s="6" t="n">
        <f aca="false">COUNTIF('Cas de test'!$K$2:$K$25,A2)</f>
        <v>16</v>
      </c>
      <c r="C2" s="7" t="n">
        <f aca="false">B2/$B$6</f>
        <v>0.666666666666667</v>
      </c>
    </row>
    <row r="3" customFormat="false" ht="15" hidden="false" customHeight="false" outlineLevel="0" collapsed="false">
      <c r="A3" s="6" t="s">
        <v>73</v>
      </c>
      <c r="B3" s="6" t="n">
        <f aca="false">COUNTIF('Cas de test'!$K$2:$K$25,A3)</f>
        <v>8</v>
      </c>
      <c r="C3" s="7" t="n">
        <f aca="false">B3/$B$6</f>
        <v>0.333333333333333</v>
      </c>
    </row>
    <row r="4" customFormat="false" ht="15" hidden="false" customHeight="false" outlineLevel="0" collapsed="false">
      <c r="A4" s="6" t="s">
        <v>223</v>
      </c>
      <c r="B4" s="6" t="n">
        <f aca="false">COUNTIF('Cas de test'!$K$2:$K$25,A4)</f>
        <v>0</v>
      </c>
      <c r="C4" s="7" t="n">
        <f aca="false">B4/$B$6</f>
        <v>0</v>
      </c>
    </row>
    <row r="5" customFormat="false" ht="15" hidden="false" customHeight="false" outlineLevel="0" collapsed="false">
      <c r="A5" s="6" t="s">
        <v>224</v>
      </c>
      <c r="B5" s="6" t="n">
        <f aca="false">COUNTIF('Cas de test'!$K$2:$K$25,A5)</f>
        <v>0</v>
      </c>
      <c r="C5" s="7" t="n">
        <f aca="false">B5/$B$6</f>
        <v>0</v>
      </c>
    </row>
    <row r="6" customFormat="false" ht="15" hidden="false" customHeight="false" outlineLevel="0" collapsed="false">
      <c r="A6" s="8" t="s">
        <v>225</v>
      </c>
      <c r="B6" s="8" t="n">
        <f aca="false">SUM(B2:B5)</f>
        <v>24</v>
      </c>
      <c r="C6" s="9" t="n">
        <f aca="false">B6/$B$6</f>
        <v>1</v>
      </c>
    </row>
    <row r="7" customFormat="false" ht="15" hidden="false" customHeight="false" outlineLevel="0" collapsed="false">
      <c r="A7" s="6"/>
      <c r="B7" s="6"/>
      <c r="C7" s="6"/>
    </row>
    <row r="8" customFormat="false" ht="15" hidden="false" customHeight="false" outlineLevel="0" collapsed="false">
      <c r="A8" s="5" t="s">
        <v>1</v>
      </c>
      <c r="B8" s="5" t="s">
        <v>23</v>
      </c>
      <c r="C8" s="5" t="s">
        <v>73</v>
      </c>
    </row>
    <row r="9" customFormat="false" ht="15" hidden="false" customHeight="false" outlineLevel="0" collapsed="false">
      <c r="A9" s="6" t="s">
        <v>14</v>
      </c>
      <c r="B9" s="6" t="n">
        <f aca="false">COUNTIFS('Cas de test'!$B$2:$B$25,A9,'Cas de test'!$K$2:$K$25,"Pass")</f>
        <v>6</v>
      </c>
      <c r="C9" s="6" t="n">
        <f aca="false">COUNTIFS('Cas de test'!$B$2:$B$25,A9,'Cas de test'!$K$2:$K$25,"Fail")</f>
        <v>0</v>
      </c>
    </row>
    <row r="10" customFormat="false" ht="15" hidden="false" customHeight="false" outlineLevel="0" collapsed="false">
      <c r="A10" s="6" t="s">
        <v>65</v>
      </c>
      <c r="B10" s="6" t="n">
        <f aca="false">COUNTIFS('Cas de test'!$B$2:$B$25,A10,'Cas de test'!$K$2:$K$25,"Pass")</f>
        <v>4</v>
      </c>
      <c r="C10" s="6" t="n">
        <f aca="false">COUNTIFS('Cas de test'!$B$2:$B$25,A10,'Cas de test'!$K$2:$K$25,"Fail")</f>
        <v>2</v>
      </c>
    </row>
    <row r="11" customFormat="false" ht="15" hidden="false" customHeight="false" outlineLevel="0" collapsed="false">
      <c r="A11" s="6" t="s">
        <v>115</v>
      </c>
      <c r="B11" s="6" t="n">
        <f aca="false">COUNTIFS('Cas de test'!$B$2:$B$25,A11,'Cas de test'!$K$2:$K$25,"Pass")</f>
        <v>4</v>
      </c>
      <c r="C11" s="6" t="n">
        <f aca="false">COUNTIFS('Cas de test'!$B$2:$B$25,A11,'Cas de test'!$K$2:$K$25,"Fail")</f>
        <v>2</v>
      </c>
    </row>
    <row r="12" customFormat="false" ht="15" hidden="false" customHeight="false" outlineLevel="0" collapsed="false">
      <c r="A12" s="6" t="s">
        <v>169</v>
      </c>
      <c r="B12" s="6" t="n">
        <f aca="false">COUNTIFS('Cas de test'!$B$2:$B$25,A12,'Cas de test'!$K$2:$K$25,"Pass")</f>
        <v>2</v>
      </c>
      <c r="C12" s="6" t="n">
        <f aca="false">COUNTIFS('Cas de test'!$B$2:$B$25,A12,'Cas de test'!$K$2:$K$25,"Fail")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2026-10-15T22:06:27Z</dcterms:created>
  <dc:creator>openpyxl</dc:creator>
  <dc:description/>
  <dc:language>en-US</dc:language>
  <cp:lastModifiedBy/>
  <dcterms:modified xsi:type="dcterms:W3CDTF">2026-10-15T22:06:27Z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